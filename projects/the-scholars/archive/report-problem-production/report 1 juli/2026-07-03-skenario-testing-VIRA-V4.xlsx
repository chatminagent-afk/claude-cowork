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ocuments\Claude Cowork\the scholars\report\report problem production\report 1 juli\"/>
    </mc:Choice>
  </mc:AlternateContent>
  <xr:revisionPtr revIDLastSave="0" documentId="13_ncr:1_{8F94ABA5-1A6F-4068-86B8-36EE15EE547C}" xr6:coauthVersionLast="47" xr6:coauthVersionMax="47" xr10:uidLastSave="{00000000-0000-0000-0000-000000000000}"/>
  <bookViews>
    <workbookView xWindow="-108" yWindow="-108" windowWidth="23256" windowHeight="12456" xr2:uid="{00000000-000D-0000-FFFF-FFFF00000000}"/>
  </bookViews>
  <sheets>
    <sheet name="Skenario Testing" sheetId="1" r:id="rId1"/>
    <sheet name="Ringkasan Bug-Fix"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8" i="1" l="1"/>
  <c r="J17" i="1"/>
  <c r="J16" i="1"/>
  <c r="J15" i="1"/>
  <c r="J14" i="1"/>
  <c r="J13" i="1"/>
  <c r="J12" i="1"/>
  <c r="J11" i="1"/>
  <c r="J10" i="1"/>
  <c r="J9" i="1"/>
  <c r="J8" i="1"/>
  <c r="J7" i="1"/>
</calcChain>
</file>

<file path=xl/sharedStrings.xml><?xml version="1.0" encoding="utf-8"?>
<sst xmlns="http://schemas.openxmlformats.org/spreadsheetml/2006/main" count="147" uniqueCount="136">
  <si>
    <t>VIRA V4 - Skenario Testing Regresi (Berdasarkan Report Problem 1 Juli)</t>
  </si>
  <si>
    <t>Tujuan: memastikan tiap bug pada 7 chat history production TIDAK muncul lagi setelah V4 live. Isi kolom Hasil &amp; Status saat pengujian.</t>
  </si>
  <si>
    <t>No</t>
  </si>
  <si>
    <t>Chat Sumber</t>
  </si>
  <si>
    <t>Bug Lama (Gejala di Chat)</t>
  </si>
  <si>
    <t>Skenario / Langkah Uji</t>
  </si>
  <si>
    <t>Input User (contoh)</t>
  </si>
  <si>
    <t>Expected Result V4 (Lulus bila...)</t>
  </si>
  <si>
    <t>Hasil Aktual</t>
  </si>
  <si>
    <t>Status (PASS/FAIL)</t>
  </si>
  <si>
    <t>+62 813-1342-3345
(Maria / Angelo)
"output process all terlalu keras"</t>
  </si>
  <si>
    <t>Balasan valid 1 kalimat ke-strip habis oleh internalKeywords -&gt; keluar fallback "Maaf, terjadi kesalahan. Coba tanyakan ulang".</t>
  </si>
  <si>
    <t>Kirim pesan yang memicu balasan bot berisi frasa internal (mis. 'saya cek','saya lihat','sudah saya terima').</t>
  </si>
  <si>
    <t>"Saya sudah isi form batch 5, anaknya Angelo Dewata. Bisa minta reviewnya?"</t>
  </si>
  <si>
    <t>Bot membalas konfirmasi normal (mis. "Oke, sudah saya terima, nanti direview &amp; dihubungi lewat WA"). TIDAK muncul "Maaf, terjadi kesalahan". Balasan tidak kosong.</t>
  </si>
  <si>
    <t>+62 813-1342-3345
(Maria / Angelo)</t>
  </si>
  <si>
    <t>Kalimat pertama balasan terhapus sehingga isi jadi kosong.</t>
  </si>
  <si>
    <t>Ulangi beberapa pesan yang membuat balasan diawali kata kerja internal; cek tidak ada balasan terpotong/kosong.</t>
  </si>
  <si>
    <t>"Sudah saya isi formnya kak" / "Bisa dicek statusnya?"</t>
  </si>
  <si>
    <t>Setiap balasan tampil utuh (kalimat pertama tetap ada), tidak ada pesan kosong maupun fallback error.</t>
  </si>
  <si>
    <t>+62 855-1070-070
(Adrian)
"1 baris di tengah tidak masuk ke log"</t>
  </si>
  <si>
    <t>Pesan beruntun cepat: pesan ke-2 hilang / tidak terekam (debounce read-modify-write non-atomik).</t>
  </si>
  <si>
    <t>Kirim 3 pesan beruntun cepat (&lt;60 dtk, dalam window debounce). Pastikan ketiganya masuk buffer &amp; terjawab.</t>
  </si>
  <si>
    <t>1) "utk singapura itu rapor harus 90?"
2) "anak saya rata2 kelas x masih 85"
3) (baris ke-3)</t>
  </si>
  <si>
    <t>Ketiga baris tercatat di MSG_BUFFER (append-only) &amp; ikut diproses. Balasan mencerminkan SEMUA pesan; tidak ada baris tengah yang hilang.</t>
  </si>
  <si>
    <t>+62 855-1070-070
(Adrian)</t>
  </si>
  <si>
    <t>Jawaban info salah/tumpul soal syarat nilai; user protes tata krama &amp; minta manusia.</t>
  </si>
  <si>
    <t>Tanya syarat nilai rapor untuk Singapura, lalu ketik permintaan handoff.</t>
  </si>
  <si>
    <t>"utk singapura rapor harus 90?" lalu "mau ngomong sama Sam"</t>
  </si>
  <si>
    <t>Bot menjawab akurat (tidak ada angka minimal baku; nilai sebaik mungkin karena kompetitif) dengan bahasa sopan, lalu handoff ke Sam berjalan (bot OFF saat Sam ambil alih).</t>
  </si>
  <si>
    <t>+62 822-3030-0382
(Tri Agustina / Noah)
"muter muter jawabnya"</t>
  </si>
  <si>
    <t>Bot menanyakan "anaknya kelas berapa" berulang meski sudah dijawab (context loss / loop).</t>
  </si>
  <si>
    <t>Beri info kelas anak sekali, lalu lanjut bertanya. Pastikan bot TIDAK menanya ulang kelas.</t>
  </si>
  <si>
    <t>"anak saya 13th mau naik sec 3" -&gt; lalu "mau ikut kelas asean scholarship sec 3"</t>
  </si>
  <si>
    <t>Bot mengingat jenjang anak dari giliran sebelumnya (fakta persisten kelas_anak) &amp; langsung mengarahkan ke program tepat tanpa mengulang pertanyaan kelas.</t>
  </si>
  <si>
    <t>+62 822-3030-0382
(Tri Agustina / Noah)</t>
  </si>
  <si>
    <t>Salah identifikasi konteks sekolah (BBS Kebon Jeruk) -&gt; jawaban tidak relevan/kontradiktif.</t>
  </si>
  <si>
    <t>Sebut anak sekolah berbasis Singapura di Indonesia &amp; mau apply ASEAN Scholarship Sec 3.</t>
  </si>
  <si>
    <t>"mau naik sec 3 di BBS Kebon Jeruk, mau apply asean scholarship sec 3"</t>
  </si>
  <si>
    <t>Bot merekomendasi program konsisten (Intermediate utk yang naik SMP 3 / sesuai aturan Batch aktif) dengan link GForm benar; tidak ada jawaban saling bertentangan antar giliran.</t>
  </si>
  <si>
    <t>Pertanyaan di luar KB ("open ASEAN scholarship bulan apa") dijawab "belum punya jawaban" tanpa follow-up.</t>
  </si>
  <si>
    <t>Ajukan pertanyaan faktual di luar guidebook.</t>
  </si>
  <si>
    <t>"open asean scholarship-nya bulan apa ya kak?"</t>
  </si>
  <si>
    <t>Bot memberi jawaban dari KB bila tersedia, atau mengakui belum tahu secara sopan + menandai untuk ditindaklanjuti Sam (bukan sekadar buntu).</t>
  </si>
  <si>
    <t>+62 811-648-604
(Elini / Wayne)</t>
  </si>
  <si>
    <t>Jawaban muter &amp; kontradiktif: bot bolak-balik mengira anak sudah di Singapura, &amp; flip-flop program (Seniors vs Intermediate).</t>
  </si>
  <si>
    <t>Sampaikan: anak Sec 3 di sekolah berbasis Singapura di Medan, ingin apply scholarship jenjang berikutnya. Amati konsistensi.</t>
  </si>
  <si>
    <t>"anak Sec 3 di SIS Medan, mau apply scholarship di Singapore untuk next-nya"</t>
  </si>
  <si>
    <t>Bot konsisten menyimpulkan anak masih di Indonesia (tidak bertanya ulang 'berarti sudah di Singapura'), &amp; memberi rekomendasi program konsisten &amp; benar sesuai umur/kelas dalam satu alur.</t>
  </si>
  <si>
    <t>Regex STUDENT memuat kata 'anaknya' -&gt; salah deteksi ucapan orang tua sebagai murid.</t>
  </si>
  <si>
    <t>Sebagai orang tua, gunakan kata 'anaknya/anak saya' dalam pertanyaan.</t>
  </si>
  <si>
    <t>"anaknya sekarang Secondary 3, langkah awalnya apa?"</t>
  </si>
  <si>
    <t>Bot tetap memperlakukan lawan bicara sebagai orang tua (tidak mis-deteksi jadi murid); respons &amp; sapaan netral sesuai keputusan V4 (tanpa panggilan PARENT/STUDENT).</t>
  </si>
  <si>
    <t>+62 812-1105-026
(DSS)</t>
  </si>
  <si>
    <t>Kunjungan ke-2 (hari beda) bot lupa data anak (kelas 5 SD, lahir 6 Jan 2016) -&gt; jawaban generik "pantau terus info kita".</t>
  </si>
  <si>
    <t>Sesi 1 beri data anak. Di sesi 2 (setelah jeda), tanya lagi tanpa mengulang data.</t>
  </si>
  <si>
    <t>Sesi1: "anak kelas 5 SD, lahir 6 Jan 2016" -&gt; Sesi2: "apakah bisa ikut persiapan scholarship?"</t>
  </si>
  <si>
    <t>Bot masih mengingat kelas &amp; konteks anak dari fakta persisten (STATS); memberi jawaban spesifik utk kelas 5 SD, bukan template generik.</t>
  </si>
  <si>
    <t>+62 813-9397-9477
(Vivipoh)</t>
  </si>
  <si>
    <t>Pertanyaan konkret (alamat/kota) tidak dijawab; bot langsung escalate "akan saya sampaikan ke Sam" tanpa jawaban.</t>
  </si>
  <si>
    <t>Tanya pertanyaan sederhana yang seharusnya bisa dijawab bot.</t>
  </si>
  <si>
    <t>"alamatnya di kota mana ya?"</t>
  </si>
  <si>
    <t>Bot menjawab pertanyaan bila info ada di KB (atau menjelaskan formatnya online) sebelum escalate; tidak melempar ke Sam utk hal yang bisa dijawab sendiri.</t>
  </si>
  <si>
    <t>+62 813-9397-9477 &amp;
+62 812-1105-026
(dugaan tertukar row - lid)</t>
  </si>
  <si>
    <t>Matching row STATS by lid + fallback rows[0] -&gt; identitas/nama antar user tertukar.</t>
  </si>
  <si>
    <t>Jalankan 2 user berbeda hampir bersamaan; pastikan data &amp; nama tidak tertukar.</t>
  </si>
  <si>
    <t>User A &amp; User B kirim pesan berdekatan</t>
  </si>
  <si>
    <t>Setiap user match ke baris STATS-nya sendiri berdasarkan No WA primer (bukan lid/rows[0]); nama &amp; fakta tidak tertukar antar chat.</t>
  </si>
  <si>
    <t>+62 877-7283-0441
(Marsella)
"jawaban nya tanya program lagi"</t>
  </si>
  <si>
    <t>Setelah user minta detail program, bot malah balik bertanya "program apa" &amp; "kelas berapa" yang sudah dijawab.</t>
  </si>
  <si>
    <t>Beri kelas anak, terima rekomendasi program, lalu minta detail lebih lanjut.</t>
  </si>
  <si>
    <t>"kelas 6 SD" -&gt; (bot sarankan Junior) -&gt; "boleh tahu lebih lanjut programnya"</t>
  </si>
  <si>
    <t>Bot melanjutkan menjelaskan program Junior yang sudah disebut (ingat program_interest &amp; kelas_anak); TIDAK mengulang pertanyaan kelas/program.</t>
  </si>
  <si>
    <t>Semua chat (user baru)</t>
  </si>
  <si>
    <t>Belum ada intro identitas bot untuk user baru.</t>
  </si>
  <si>
    <t>Mulai chat sebagai user baru pertama kali.</t>
  </si>
  <si>
    <t>"Halo" (kontak baru)</t>
  </si>
  <si>
    <t>Bot memperkenalkan diri sebagai "Sam versi AI" sesuai keputusan intro V4, sekali di awal, sebelum masuk tanya-jawab.</t>
  </si>
  <si>
    <t>Peta Bug Report 1 Juli -&gt; Root Cause -&gt; Fix V4</t>
  </si>
  <si>
    <t>Grup</t>
  </si>
  <si>
    <t>Chat</t>
  </si>
  <si>
    <t>Bug / Gejala</t>
  </si>
  <si>
    <t>Root Cause (analisa V4)</t>
  </si>
  <si>
    <t>Fix di V4</t>
  </si>
  <si>
    <t>A</t>
  </si>
  <si>
    <t>Maria/Angelo</t>
  </si>
  <si>
    <t>"Maaf, terjadi kesalahan" pada balasan valid</t>
  </si>
  <si>
    <t>Process All internalKeywords menghapus seluruh kalimat pertama -&gt; balasan kosong -&gt; fallback error</t>
  </si>
  <si>
    <t>Logika stripper diperbaiki agar tidak menghapus kalimat valid; balasan 1-kalimat tetap keluar</t>
  </si>
  <si>
    <t>B</t>
  </si>
  <si>
    <t>Adrian</t>
  </si>
  <si>
    <t>Baris tengah tidak masuk log (pesan beruntun)</t>
  </si>
  <si>
    <t>Debounce Update Buffer read-modify-write non-atomik dari STATS stale -&gt; lost update</t>
  </si>
  <si>
    <t>Pindah ke sheet MSG_BUFFER append-only; timestamp debounce pakai last_reply_ts</t>
  </si>
  <si>
    <t>C</t>
  </si>
  <si>
    <t>Noah/Tri</t>
  </si>
  <si>
    <t>Muter-muter, tanya kelas berulang, salah sekolah</t>
  </si>
  <si>
    <t>Simple Memory volatil (RAM) window 10 + context loss antar giliran</t>
  </si>
  <si>
    <t>Fakta persisten (kelas_anak, program_interest) di STATS di-inject ke SYSTEM_DATA</t>
  </si>
  <si>
    <t>D</t>
  </si>
  <si>
    <t>Elini/Wayne</t>
  </si>
  <si>
    <t>Jawaban kontradiktif &amp; mis-deteksi murid/ortu</t>
  </si>
  <si>
    <t>Context loss + regex STUDENT memuat kata 'anaknya'</t>
  </si>
  <si>
    <t>Alur PARENT/STUDENT dihapus total (register netral) + memori fakta persisten</t>
  </si>
  <si>
    <t>E</t>
  </si>
  <si>
    <t>DSS</t>
  </si>
  <si>
    <t>Lupa data anak di kunjungan ke-2 -&gt; jawaban generik</t>
  </si>
  <si>
    <t>Memory volatil, sessionKey user_wa mentah</t>
  </si>
  <si>
    <t>sessionKey resolved_key + fakta persisten di STATS</t>
  </si>
  <si>
    <t>F</t>
  </si>
  <si>
    <t>Vivipoh / DSS</t>
  </si>
  <si>
    <t>Nama/identitas antar user tertukar; escalate tanpa jawab</t>
  </si>
  <si>
    <t>Matching row STATS by lid + fallback rows[0]</t>
  </si>
  <si>
    <t>Match by No WA primer (lid hanya backup); jawab dulu sebelum escalate</t>
  </si>
  <si>
    <t>G</t>
  </si>
  <si>
    <t>Marsella</t>
  </si>
  <si>
    <t>Balik tanya program &amp; kelas yang sudah dijawab</t>
  </si>
  <si>
    <t>Context loss (tidak menyimpan program_interest/kelas)</t>
  </si>
  <si>
    <t>Fakta persisten program_interest + kelas_anak di STATS</t>
  </si>
  <si>
    <t>$12.38</t>
  </si>
  <si>
    <t>Haloo thank you sudah contact TheScholars.id yaa. Saya Sam versi AI yaa, saya siap bantu untuk jawab pertanyaan yang ada mengenai program kita dan scholarships ke Singapore. Untuk review formnya, nanti Sam asli yang akan lihat dan seleksi yaa. Kalau sudah diproses, akan ada kabar langsung via WhatsApp.</t>
  </si>
  <si>
    <t>PASS</t>
  </si>
  <si>
    <t>Haloo thank you sudah contact TheScholars.id yaa. Saya Sam versi AI yaa, saya siap bantu untuk jawab pertanyaan yang ada mengenai program kita dan scholarships ke Singapore. Untuk cek status formnya, saya belum bisa akses data pendaftaran yaa, nanti Sam asli yang akan follow up langsung via WhatsApp kalau sudah diproses.</t>
  </si>
  <si>
    <t>Gak ada patokan angka pasti dari MOE yaa, mereka nilainya holistik, nilai akademik, prestasi luar akademik, dan latar belakang sekolah semua dipertimbangkan. Tapi untuk kelas 10, belum ada program The Scholars yang cocok untuk sekarang, program Seniors kita khusus kelas 12 yang sedang apply universitas di Singapura. Kalau nanti sudah kelas 12, boleh tanya lagi yaa.</t>
  </si>
  <si>
    <t>Sisa</t>
  </si>
  <si>
    <t>Oke, akan saya sampaikan ke Sam yaa. Mohon ditunggu, terimakasih.</t>
  </si>
  <si>
    <t>Boleh, itu cocok masuk program Intermediate yaa. Batch 5 sudah dibuka, bisa daftar di sini:
👉 https://forms.gle/F79qYMFqMSAgTjqx6
Kalau ada yang masih kurang jelas, bisa ngobrol langsung sama Sam yaa. tinggal ketik "mau ngomong sama Sam"</t>
  </si>
  <si>
    <t>Untuk jadwal buka pendaftaran ASEAN Scholarship langsung dari MOE Singapura, saya belum ada infonya yaa. Untuk yang ini saya belum ada infonya yaa, nanti saya cari tahu dan kabari.</t>
  </si>
  <si>
    <t>Iya cocok, program Intermediate pas untuk persiapan ASEAN Scholarship masuk Sec 3 yaa. Batch 5 sudah dibuka, bisa daftar di sini:
👉 https://forms.gle/F79qYMFqMSAgTjqx6
Kalau ada yang masih kurang jelas, bisa ngobrol langsung sama Sam yaa. tinggal ketik "mau ngomong sama Sam".</t>
  </si>
  <si>
    <t>Langkah awalnya daftar dulu ke program Intermediate yaa, bisa lewat form ini:
👉 https://forms.gle/F79qYMFqMSAgTjqx6
Kalau ada yang masih kurang jelas, bisa ngobrol langsung sama Sam yaa. tinggal ketik "mau ngomong sama Sam"</t>
  </si>
  <si>
    <t>FAILED</t>
  </si>
  <si>
    <t>Untuk SD kelas 5, program kita belum ada yang cocok untuk sekarang yaa, mulainya dari SD kelas 6. Kalau tahun depan sudah kelas 6, boleh tanya lagi!</t>
  </si>
  <si>
    <t>Untuk yang ini saya belum ada infonya yaa, nanti saya cari tahu dan kabari.</t>
  </si>
  <si>
    <t>PASSED</t>
  </si>
  <si>
    <t>Boleh, mau tanya soal program yang mana yaa, Junior, Intermediate, Seniors, atau Mock Interview?</t>
  </si>
  <si>
    <t>iphone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</si>
</sst>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5" formatCode="[$USD]\ #.##0"/>
    <numFmt numFmtId="181" formatCode="[$USD]\ #.###"/>
    <numFmt numFmtId="182" formatCode="[$USD]\ #.####"/>
  </numFmts>
  <fonts count="8" x14ac:knownFonts="1">
    <font>
      <sz val="11"/>
      <color theme="1"/>
      <name val="Calibri"/>
      <family val="2"/>
      <scheme val="minor"/>
    </font>
    <font>
      <b/>
      <sz val="14"/>
      <color rgb="FF1F4E78"/>
      <name val="Arial"/>
    </font>
    <font>
      <i/>
      <sz val="9"/>
      <color rgb="FF555555"/>
      <name val="Arial"/>
    </font>
    <font>
      <b/>
      <sz val="10"/>
      <color rgb="FFFFFFFF"/>
      <name val="Arial"/>
    </font>
    <font>
      <sz val="10"/>
      <name val="Arial"/>
    </font>
    <font>
      <b/>
      <sz val="12"/>
      <color rgb="FFFFFFFF"/>
      <name val="Arial"/>
      <family val="2"/>
    </font>
    <font>
      <sz val="12"/>
      <name val="Arial"/>
      <family val="2"/>
    </font>
    <font>
      <sz val="12"/>
      <color theme="1"/>
      <name val="Calibri"/>
      <family val="2"/>
      <scheme val="minor"/>
    </font>
  </fonts>
  <fills count="11">
    <fill>
      <patternFill patternType="none"/>
    </fill>
    <fill>
      <patternFill patternType="gray125"/>
    </fill>
    <fill>
      <patternFill patternType="solid">
        <fgColor rgb="FF1F4E78"/>
      </patternFill>
    </fill>
    <fill>
      <patternFill patternType="solid">
        <fgColor rgb="FFDDEBF7"/>
      </patternFill>
    </fill>
    <fill>
      <patternFill patternType="solid">
        <fgColor rgb="FFE2EFDA"/>
      </patternFill>
    </fill>
    <fill>
      <patternFill patternType="solid">
        <fgColor rgb="FFFCE4D6"/>
      </patternFill>
    </fill>
    <fill>
      <patternFill patternType="solid">
        <fgColor rgb="FFFFF2CC"/>
      </patternFill>
    </fill>
    <fill>
      <patternFill patternType="solid">
        <fgColor rgb="FFEDEDED"/>
      </patternFill>
    </fill>
    <fill>
      <patternFill patternType="solid">
        <fgColor rgb="FFE4DFEC"/>
      </patternFill>
    </fill>
    <fill>
      <patternFill patternType="solid">
        <fgColor rgb="FFD9E1F2"/>
      </patternFill>
    </fill>
    <fill>
      <patternFill patternType="solid">
        <fgColor rgb="FFFF000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40">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vertical="top" wrapText="1"/>
    </xf>
    <xf numFmtId="0" fontId="4" fillId="4" borderId="1" xfId="0" applyFont="1" applyFill="1" applyBorder="1" applyAlignment="1">
      <alignment horizontal="center" vertical="center" wrapText="1"/>
    </xf>
    <xf numFmtId="0" fontId="4" fillId="4" borderId="1" xfId="0" applyFont="1" applyFill="1" applyBorder="1" applyAlignment="1">
      <alignment vertical="top" wrapText="1"/>
    </xf>
    <xf numFmtId="0" fontId="4" fillId="5" borderId="1" xfId="0" applyFont="1" applyFill="1" applyBorder="1" applyAlignment="1">
      <alignment horizontal="center" vertical="center" wrapText="1"/>
    </xf>
    <xf numFmtId="0" fontId="4" fillId="5" borderId="1" xfId="0" applyFont="1" applyFill="1" applyBorder="1" applyAlignment="1">
      <alignment vertical="top" wrapText="1"/>
    </xf>
    <xf numFmtId="0" fontId="4" fillId="6" borderId="1" xfId="0" applyFont="1" applyFill="1" applyBorder="1" applyAlignment="1">
      <alignment horizontal="center" vertical="center" wrapText="1"/>
    </xf>
    <xf numFmtId="0" fontId="4" fillId="6" borderId="1" xfId="0" applyFont="1" applyFill="1" applyBorder="1" applyAlignment="1">
      <alignment vertical="top" wrapText="1"/>
    </xf>
    <xf numFmtId="0" fontId="4" fillId="7" borderId="1" xfId="0" applyFont="1" applyFill="1" applyBorder="1" applyAlignment="1">
      <alignment horizontal="center" vertical="center" wrapText="1"/>
    </xf>
    <xf numFmtId="0" fontId="4" fillId="7" borderId="1" xfId="0" applyFont="1" applyFill="1" applyBorder="1" applyAlignment="1">
      <alignment vertical="top" wrapText="1"/>
    </xf>
    <xf numFmtId="0" fontId="4" fillId="8" borderId="1" xfId="0" applyFont="1" applyFill="1" applyBorder="1" applyAlignment="1">
      <alignment horizontal="center" vertical="center" wrapText="1"/>
    </xf>
    <xf numFmtId="0" fontId="4" fillId="8" borderId="1" xfId="0" applyFont="1" applyFill="1" applyBorder="1" applyAlignment="1">
      <alignment vertical="top" wrapText="1"/>
    </xf>
    <xf numFmtId="0" fontId="4" fillId="9" borderId="1" xfId="0" applyFont="1" applyFill="1" applyBorder="1" applyAlignment="1">
      <alignment horizontal="center" vertical="center" wrapText="1"/>
    </xf>
    <xf numFmtId="0" fontId="4" fillId="9" borderId="1" xfId="0" applyFont="1" applyFill="1" applyBorder="1" applyAlignment="1">
      <alignment vertical="top"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vertical="top" wrapText="1"/>
    </xf>
    <xf numFmtId="0" fontId="6" fillId="0" borderId="1" xfId="0" applyFont="1" applyBorder="1" applyAlignment="1">
      <alignment vertical="top" wrapText="1"/>
    </xf>
    <xf numFmtId="175" fontId="7" fillId="0" borderId="0" xfId="0" applyNumberFormat="1" applyFont="1"/>
    <xf numFmtId="0" fontId="6" fillId="4" borderId="1" xfId="0" applyFont="1" applyFill="1" applyBorder="1" applyAlignment="1">
      <alignment horizontal="center" vertical="center" wrapText="1"/>
    </xf>
    <xf numFmtId="0" fontId="6" fillId="4" borderId="1" xfId="0" applyFont="1" applyFill="1" applyBorder="1" applyAlignment="1">
      <alignment vertical="top" wrapText="1"/>
    </xf>
    <xf numFmtId="0" fontId="6" fillId="5" borderId="1" xfId="0" applyFont="1" applyFill="1" applyBorder="1" applyAlignment="1">
      <alignment horizontal="center" vertical="center" wrapText="1"/>
    </xf>
    <xf numFmtId="0" fontId="6" fillId="5" borderId="1" xfId="0" applyFont="1" applyFill="1" applyBorder="1" applyAlignment="1">
      <alignment vertical="top" wrapText="1"/>
    </xf>
    <xf numFmtId="0" fontId="6" fillId="6" borderId="1" xfId="0" applyFont="1" applyFill="1" applyBorder="1" applyAlignment="1">
      <alignment horizontal="center" vertical="center" wrapText="1"/>
    </xf>
    <xf numFmtId="0" fontId="6" fillId="6" borderId="1" xfId="0" applyFont="1" applyFill="1" applyBorder="1" applyAlignment="1">
      <alignment vertical="top" wrapText="1"/>
    </xf>
    <xf numFmtId="0" fontId="6" fillId="7" borderId="1" xfId="0" applyFont="1" applyFill="1" applyBorder="1" applyAlignment="1">
      <alignment horizontal="center" vertical="center" wrapText="1"/>
    </xf>
    <xf numFmtId="0" fontId="6" fillId="7" borderId="1" xfId="0" applyFont="1" applyFill="1" applyBorder="1" applyAlignment="1">
      <alignment vertical="top" wrapText="1"/>
    </xf>
    <xf numFmtId="0" fontId="6" fillId="8" borderId="1" xfId="0" applyFont="1" applyFill="1" applyBorder="1" applyAlignment="1">
      <alignment horizontal="center" vertical="center" wrapText="1"/>
    </xf>
    <xf numFmtId="0" fontId="6" fillId="8" borderId="1" xfId="0" applyFont="1" applyFill="1" applyBorder="1" applyAlignment="1">
      <alignment vertical="top" wrapText="1"/>
    </xf>
    <xf numFmtId="0" fontId="6" fillId="9" borderId="1" xfId="0" applyFont="1" applyFill="1" applyBorder="1" applyAlignment="1">
      <alignment horizontal="center" vertical="center" wrapText="1"/>
    </xf>
    <xf numFmtId="0" fontId="6" fillId="9" borderId="1" xfId="0" applyFont="1" applyFill="1" applyBorder="1" applyAlignment="1">
      <alignment vertical="top" wrapText="1"/>
    </xf>
    <xf numFmtId="181" fontId="7" fillId="0" borderId="0" xfId="0" applyNumberFormat="1" applyFont="1"/>
    <xf numFmtId="181" fontId="5" fillId="2" borderId="1" xfId="0" applyNumberFormat="1" applyFont="1" applyFill="1" applyBorder="1" applyAlignment="1">
      <alignment horizontal="center" vertical="center" wrapText="1"/>
    </xf>
    <xf numFmtId="182" fontId="7" fillId="0" borderId="0" xfId="0" applyNumberFormat="1" applyFont="1"/>
    <xf numFmtId="0" fontId="6" fillId="10"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abSelected="1" zoomScale="85" zoomScaleNormal="85" workbookViewId="0">
      <pane ySplit="4" topLeftCell="A7" activePane="bottomLeft" state="frozen"/>
      <selection pane="bottomLeft" activeCell="G18" sqref="G18"/>
    </sheetView>
  </sheetViews>
  <sheetFormatPr defaultRowHeight="15.75" x14ac:dyDescent="0.25"/>
  <cols>
    <col min="1" max="1" width="5" customWidth="1"/>
    <col min="2" max="2" width="24" customWidth="1"/>
    <col min="3" max="4" width="34" customWidth="1"/>
    <col min="5" max="5" width="30" customWidth="1"/>
    <col min="6" max="6" width="44" customWidth="1"/>
    <col min="7" max="7" width="22" customWidth="1"/>
    <col min="8" max="8" width="14" customWidth="1"/>
    <col min="9" max="9" width="19.140625" style="36" customWidth="1"/>
    <col min="10" max="10" width="18.140625" bestFit="1" customWidth="1"/>
  </cols>
  <sheetData>
    <row r="1" spans="1:10" ht="20.100000000000001" customHeight="1" x14ac:dyDescent="0.25">
      <c r="A1" s="1" t="s">
        <v>0</v>
      </c>
    </row>
    <row r="2" spans="1:10" x14ac:dyDescent="0.25">
      <c r="A2" s="2" t="s">
        <v>1</v>
      </c>
    </row>
    <row r="4" spans="1:10" ht="47.25" x14ac:dyDescent="0.25">
      <c r="A4" s="18" t="s">
        <v>2</v>
      </c>
      <c r="B4" s="18" t="s">
        <v>3</v>
      </c>
      <c r="C4" s="18" t="s">
        <v>4</v>
      </c>
      <c r="D4" s="18" t="s">
        <v>5</v>
      </c>
      <c r="E4" s="18" t="s">
        <v>6</v>
      </c>
      <c r="F4" s="18" t="s">
        <v>7</v>
      </c>
      <c r="G4" s="18" t="s">
        <v>8</v>
      </c>
      <c r="H4" s="18" t="s">
        <v>9</v>
      </c>
      <c r="I4" s="37" t="s">
        <v>124</v>
      </c>
      <c r="J4" s="19" t="s">
        <v>119</v>
      </c>
    </row>
    <row r="5" spans="1:10" ht="81.95" customHeight="1" x14ac:dyDescent="0.25">
      <c r="A5" s="20">
        <v>1</v>
      </c>
      <c r="B5" s="21" t="s">
        <v>10</v>
      </c>
      <c r="C5" s="21" t="s">
        <v>11</v>
      </c>
      <c r="D5" s="21" t="s">
        <v>12</v>
      </c>
      <c r="E5" s="21" t="s">
        <v>13</v>
      </c>
      <c r="F5" s="21" t="s">
        <v>14</v>
      </c>
      <c r="G5" s="22" t="s">
        <v>120</v>
      </c>
      <c r="H5" s="22" t="s">
        <v>121</v>
      </c>
      <c r="I5" s="36">
        <v>12.35</v>
      </c>
      <c r="J5" s="23">
        <v>0.03</v>
      </c>
    </row>
    <row r="6" spans="1:10" ht="81.95" customHeight="1" x14ac:dyDescent="0.25">
      <c r="A6" s="20">
        <v>2</v>
      </c>
      <c r="B6" s="21" t="s">
        <v>15</v>
      </c>
      <c r="C6" s="21" t="s">
        <v>16</v>
      </c>
      <c r="D6" s="21" t="s">
        <v>17</v>
      </c>
      <c r="E6" s="21" t="s">
        <v>18</v>
      </c>
      <c r="F6" s="21" t="s">
        <v>19</v>
      </c>
      <c r="G6" s="22" t="s">
        <v>122</v>
      </c>
      <c r="H6" s="22" t="s">
        <v>121</v>
      </c>
      <c r="I6" s="36">
        <v>12.3</v>
      </c>
      <c r="J6" s="23">
        <v>0.05</v>
      </c>
    </row>
    <row r="7" spans="1:10" ht="81.95" customHeight="1" x14ac:dyDescent="0.25">
      <c r="A7" s="24">
        <v>3</v>
      </c>
      <c r="B7" s="25" t="s">
        <v>20</v>
      </c>
      <c r="C7" s="25" t="s">
        <v>21</v>
      </c>
      <c r="D7" s="25" t="s">
        <v>22</v>
      </c>
      <c r="E7" s="25" t="s">
        <v>23</v>
      </c>
      <c r="F7" s="25" t="s">
        <v>24</v>
      </c>
      <c r="G7" s="22" t="s">
        <v>123</v>
      </c>
      <c r="H7" s="22" t="s">
        <v>121</v>
      </c>
      <c r="I7" s="38">
        <v>12.27</v>
      </c>
      <c r="J7" s="23">
        <f>I7-I6</f>
        <v>-3.0000000000001137E-2</v>
      </c>
    </row>
    <row r="8" spans="1:10" ht="81.95" customHeight="1" x14ac:dyDescent="0.25">
      <c r="A8" s="24">
        <v>4</v>
      </c>
      <c r="B8" s="25" t="s">
        <v>25</v>
      </c>
      <c r="C8" s="25" t="s">
        <v>26</v>
      </c>
      <c r="D8" s="25" t="s">
        <v>27</v>
      </c>
      <c r="E8" s="25" t="s">
        <v>28</v>
      </c>
      <c r="F8" s="25" t="s">
        <v>29</v>
      </c>
      <c r="G8" s="22" t="s">
        <v>125</v>
      </c>
      <c r="H8" s="22" t="s">
        <v>121</v>
      </c>
      <c r="I8" s="36">
        <v>12.24</v>
      </c>
      <c r="J8" s="23">
        <f t="shared" ref="J8:J18" si="0">I8-I7</f>
        <v>-2.9999999999999361E-2</v>
      </c>
    </row>
    <row r="9" spans="1:10" ht="81.95" customHeight="1" x14ac:dyDescent="0.25">
      <c r="A9" s="26">
        <v>5</v>
      </c>
      <c r="B9" s="27" t="s">
        <v>30</v>
      </c>
      <c r="C9" s="27" t="s">
        <v>31</v>
      </c>
      <c r="D9" s="27" t="s">
        <v>32</v>
      </c>
      <c r="E9" s="27" t="s">
        <v>33</v>
      </c>
      <c r="F9" s="27" t="s">
        <v>34</v>
      </c>
      <c r="G9" s="22" t="s">
        <v>126</v>
      </c>
      <c r="H9" s="22" t="s">
        <v>121</v>
      </c>
      <c r="I9" s="36">
        <v>12.21</v>
      </c>
      <c r="J9" s="23">
        <f t="shared" si="0"/>
        <v>-2.9999999999999361E-2</v>
      </c>
    </row>
    <row r="10" spans="1:10" ht="81.95" customHeight="1" x14ac:dyDescent="0.25">
      <c r="A10" s="26">
        <v>6</v>
      </c>
      <c r="B10" s="27" t="s">
        <v>35</v>
      </c>
      <c r="C10" s="27" t="s">
        <v>36</v>
      </c>
      <c r="D10" s="27" t="s">
        <v>37</v>
      </c>
      <c r="E10" s="27" t="s">
        <v>38</v>
      </c>
      <c r="F10" s="27" t="s">
        <v>39</v>
      </c>
      <c r="I10" s="36">
        <v>12.21</v>
      </c>
      <c r="J10" s="23">
        <f t="shared" si="0"/>
        <v>0</v>
      </c>
    </row>
    <row r="11" spans="1:10" ht="81.95" customHeight="1" x14ac:dyDescent="0.25">
      <c r="A11" s="26">
        <v>7</v>
      </c>
      <c r="B11" s="27" t="s">
        <v>35</v>
      </c>
      <c r="C11" s="27" t="s">
        <v>40</v>
      </c>
      <c r="D11" s="27" t="s">
        <v>41</v>
      </c>
      <c r="E11" s="27" t="s">
        <v>42</v>
      </c>
      <c r="F11" s="27" t="s">
        <v>43</v>
      </c>
      <c r="G11" s="22" t="s">
        <v>127</v>
      </c>
      <c r="H11" s="22" t="s">
        <v>121</v>
      </c>
      <c r="I11" s="36">
        <v>12.18</v>
      </c>
      <c r="J11" s="23">
        <f t="shared" si="0"/>
        <v>-3.0000000000001137E-2</v>
      </c>
    </row>
    <row r="12" spans="1:10" ht="81.95" customHeight="1" x14ac:dyDescent="0.25">
      <c r="A12" s="28">
        <v>8</v>
      </c>
      <c r="B12" s="29" t="s">
        <v>44</v>
      </c>
      <c r="C12" s="29" t="s">
        <v>45</v>
      </c>
      <c r="D12" s="29" t="s">
        <v>46</v>
      </c>
      <c r="E12" s="29" t="s">
        <v>47</v>
      </c>
      <c r="F12" s="29" t="s">
        <v>48</v>
      </c>
      <c r="G12" s="22" t="s">
        <v>128</v>
      </c>
      <c r="H12" s="22" t="s">
        <v>121</v>
      </c>
      <c r="I12" s="36">
        <v>12.15</v>
      </c>
      <c r="J12" s="23">
        <f t="shared" si="0"/>
        <v>-2.9999999999999361E-2</v>
      </c>
    </row>
    <row r="13" spans="1:10" ht="81.95" customHeight="1" x14ac:dyDescent="0.25">
      <c r="A13" s="28">
        <v>9</v>
      </c>
      <c r="B13" s="29" t="s">
        <v>44</v>
      </c>
      <c r="C13" s="29" t="s">
        <v>49</v>
      </c>
      <c r="D13" s="29" t="s">
        <v>50</v>
      </c>
      <c r="E13" s="29" t="s">
        <v>51</v>
      </c>
      <c r="F13" s="29" t="s">
        <v>52</v>
      </c>
      <c r="G13" s="22" t="s">
        <v>129</v>
      </c>
      <c r="H13" s="22" t="s">
        <v>121</v>
      </c>
      <c r="I13" s="36">
        <v>12.12</v>
      </c>
      <c r="J13" s="23">
        <f t="shared" si="0"/>
        <v>-3.0000000000001137E-2</v>
      </c>
    </row>
    <row r="14" spans="1:10" ht="81.95" customHeight="1" x14ac:dyDescent="0.25">
      <c r="A14" s="30">
        <v>10</v>
      </c>
      <c r="B14" s="31" t="s">
        <v>53</v>
      </c>
      <c r="C14" s="31" t="s">
        <v>54</v>
      </c>
      <c r="D14" s="31" t="s">
        <v>55</v>
      </c>
      <c r="E14" s="31" t="s">
        <v>56</v>
      </c>
      <c r="F14" s="31" t="s">
        <v>57</v>
      </c>
      <c r="G14" s="22" t="s">
        <v>131</v>
      </c>
      <c r="H14" s="39" t="s">
        <v>130</v>
      </c>
      <c r="I14" s="36">
        <v>12.09</v>
      </c>
      <c r="J14" s="23">
        <f t="shared" si="0"/>
        <v>-2.9999999999999361E-2</v>
      </c>
    </row>
    <row r="15" spans="1:10" ht="81.95" customHeight="1" x14ac:dyDescent="0.25">
      <c r="A15" s="32">
        <v>11</v>
      </c>
      <c r="B15" s="33" t="s">
        <v>58</v>
      </c>
      <c r="C15" s="33" t="s">
        <v>59</v>
      </c>
      <c r="D15" s="33" t="s">
        <v>60</v>
      </c>
      <c r="E15" s="33" t="s">
        <v>61</v>
      </c>
      <c r="F15" s="33" t="s">
        <v>62</v>
      </c>
      <c r="G15" s="22" t="s">
        <v>132</v>
      </c>
      <c r="H15" s="22" t="s">
        <v>121</v>
      </c>
      <c r="I15" s="36">
        <v>12.06</v>
      </c>
      <c r="J15" s="23">
        <f t="shared" si="0"/>
        <v>-2.9999999999999361E-2</v>
      </c>
    </row>
    <row r="16" spans="1:10" ht="81.95" customHeight="1" x14ac:dyDescent="0.25">
      <c r="A16" s="32">
        <v>12</v>
      </c>
      <c r="B16" s="33" t="s">
        <v>63</v>
      </c>
      <c r="C16" s="33" t="s">
        <v>64</v>
      </c>
      <c r="D16" s="33" t="s">
        <v>65</v>
      </c>
      <c r="E16" s="33" t="s">
        <v>66</v>
      </c>
      <c r="F16" s="33" t="s">
        <v>67</v>
      </c>
      <c r="G16" s="22"/>
      <c r="H16" s="22"/>
      <c r="J16" s="23">
        <f t="shared" si="0"/>
        <v>-12.06</v>
      </c>
    </row>
    <row r="17" spans="1:10" ht="81.95" customHeight="1" x14ac:dyDescent="0.25">
      <c r="A17" s="34">
        <v>13</v>
      </c>
      <c r="B17" s="35" t="s">
        <v>68</v>
      </c>
      <c r="C17" s="35" t="s">
        <v>69</v>
      </c>
      <c r="D17" s="35" t="s">
        <v>70</v>
      </c>
      <c r="E17" s="35" t="s">
        <v>71</v>
      </c>
      <c r="F17" s="35" t="s">
        <v>72</v>
      </c>
      <c r="G17" s="22" t="s">
        <v>134</v>
      </c>
      <c r="H17" s="22" t="s">
        <v>133</v>
      </c>
      <c r="J17" s="23">
        <f t="shared" si="0"/>
        <v>0</v>
      </c>
    </row>
    <row r="18" spans="1:10" ht="81.95" customHeight="1" x14ac:dyDescent="0.25">
      <c r="A18" s="34">
        <v>14</v>
      </c>
      <c r="B18" s="35" t="s">
        <v>73</v>
      </c>
      <c r="C18" s="35" t="s">
        <v>74</v>
      </c>
      <c r="D18" s="35" t="s">
        <v>75</v>
      </c>
      <c r="E18" s="35" t="s">
        <v>76</v>
      </c>
      <c r="F18" s="35" t="s">
        <v>77</v>
      </c>
      <c r="G18" s="22" t="s">
        <v>135</v>
      </c>
      <c r="H18" s="22" t="s">
        <v>133</v>
      </c>
      <c r="I18" s="36">
        <v>12.02</v>
      </c>
      <c r="J18" s="23">
        <f t="shared" si="0"/>
        <v>12.02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workbookViewId="0">
      <pane ySplit="3" topLeftCell="A4" activePane="bottomLeft" state="frozen"/>
      <selection pane="bottomLeft"/>
    </sheetView>
  </sheetViews>
  <sheetFormatPr defaultRowHeight="15" x14ac:dyDescent="0.25"/>
  <cols>
    <col min="1" max="1" width="6" customWidth="1"/>
    <col min="2" max="2" width="16" customWidth="1"/>
    <col min="3" max="3" width="32" customWidth="1"/>
    <col min="4" max="5" width="40" customWidth="1"/>
  </cols>
  <sheetData>
    <row r="1" spans="1:5" ht="18" x14ac:dyDescent="0.25">
      <c r="A1" s="1" t="s">
        <v>78</v>
      </c>
    </row>
    <row r="3" spans="1:5" x14ac:dyDescent="0.25">
      <c r="A3" s="3" t="s">
        <v>79</v>
      </c>
      <c r="B3" s="3" t="s">
        <v>80</v>
      </c>
      <c r="C3" s="3" t="s">
        <v>81</v>
      </c>
      <c r="D3" s="3" t="s">
        <v>82</v>
      </c>
      <c r="E3" s="3" t="s">
        <v>83</v>
      </c>
    </row>
    <row r="4" spans="1:5" ht="62.1" customHeight="1" x14ac:dyDescent="0.25">
      <c r="A4" s="4" t="s">
        <v>84</v>
      </c>
      <c r="B4" s="5" t="s">
        <v>85</v>
      </c>
      <c r="C4" s="5" t="s">
        <v>86</v>
      </c>
      <c r="D4" s="5" t="s">
        <v>87</v>
      </c>
      <c r="E4" s="5" t="s">
        <v>88</v>
      </c>
    </row>
    <row r="5" spans="1:5" ht="62.1" customHeight="1" x14ac:dyDescent="0.25">
      <c r="A5" s="6" t="s">
        <v>89</v>
      </c>
      <c r="B5" s="7" t="s">
        <v>90</v>
      </c>
      <c r="C5" s="7" t="s">
        <v>91</v>
      </c>
      <c r="D5" s="7" t="s">
        <v>92</v>
      </c>
      <c r="E5" s="7" t="s">
        <v>93</v>
      </c>
    </row>
    <row r="6" spans="1:5" ht="62.1" customHeight="1" x14ac:dyDescent="0.25">
      <c r="A6" s="8" t="s">
        <v>94</v>
      </c>
      <c r="B6" s="9" t="s">
        <v>95</v>
      </c>
      <c r="C6" s="9" t="s">
        <v>96</v>
      </c>
      <c r="D6" s="9" t="s">
        <v>97</v>
      </c>
      <c r="E6" s="9" t="s">
        <v>98</v>
      </c>
    </row>
    <row r="7" spans="1:5" ht="62.1" customHeight="1" x14ac:dyDescent="0.25">
      <c r="A7" s="10" t="s">
        <v>99</v>
      </c>
      <c r="B7" s="11" t="s">
        <v>100</v>
      </c>
      <c r="C7" s="11" t="s">
        <v>101</v>
      </c>
      <c r="D7" s="11" t="s">
        <v>102</v>
      </c>
      <c r="E7" s="11" t="s">
        <v>103</v>
      </c>
    </row>
    <row r="8" spans="1:5" ht="62.1" customHeight="1" x14ac:dyDescent="0.25">
      <c r="A8" s="12" t="s">
        <v>104</v>
      </c>
      <c r="B8" s="13" t="s">
        <v>105</v>
      </c>
      <c r="C8" s="13" t="s">
        <v>106</v>
      </c>
      <c r="D8" s="13" t="s">
        <v>107</v>
      </c>
      <c r="E8" s="13" t="s">
        <v>108</v>
      </c>
    </row>
    <row r="9" spans="1:5" ht="62.1" customHeight="1" x14ac:dyDescent="0.25">
      <c r="A9" s="14" t="s">
        <v>109</v>
      </c>
      <c r="B9" s="15" t="s">
        <v>110</v>
      </c>
      <c r="C9" s="15" t="s">
        <v>111</v>
      </c>
      <c r="D9" s="15" t="s">
        <v>112</v>
      </c>
      <c r="E9" s="15" t="s">
        <v>113</v>
      </c>
    </row>
    <row r="10" spans="1:5" ht="62.1" customHeight="1" x14ac:dyDescent="0.25">
      <c r="A10" s="16" t="s">
        <v>114</v>
      </c>
      <c r="B10" s="17" t="s">
        <v>115</v>
      </c>
      <c r="C10" s="17" t="s">
        <v>116</v>
      </c>
      <c r="D10" s="17" t="s">
        <v>117</v>
      </c>
      <c r="E10" s="17"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Skenario Testing</vt:lpstr>
      <vt:lpstr>Ringkasan Bug-Fix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sia leroy</cp:lastModifiedBy>
  <dcterms:created xsi:type="dcterms:W3CDTF">2026-07-03T14:20:09Z</dcterms:created>
  <dcterms:modified xsi:type="dcterms:W3CDTF">2026-07-03T17:16:31Z</dcterms:modified>
</cp:coreProperties>
</file>